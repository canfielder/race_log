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vancanfield/Documents/Projects/possible_races/data/raw/"/>
    </mc:Choice>
  </mc:AlternateContent>
  <xr:revisionPtr revIDLastSave="0" documentId="13_ncr:1_{20509AF7-ECD6-A84A-B012-3E89A4125CEB}" xr6:coauthVersionLast="47" xr6:coauthVersionMax="47" xr10:uidLastSave="{00000000-0000-0000-0000-000000000000}"/>
  <bookViews>
    <workbookView xWindow="16620" yWindow="780" windowWidth="16620" windowHeight="21360" xr2:uid="{00000000-000D-0000-FFFF-FFFF00000000}"/>
  </bookViews>
  <sheets>
    <sheet name="races" sheetId="1" r:id="rId1"/>
  </sheets>
  <definedNames>
    <definedName name="_xlnm._FilterDatabase" localSheetId="0" hidden="1">races!$A$1:$N$65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D55" i="1"/>
  <c r="D34" i="1"/>
  <c r="D4" i="1"/>
  <c r="D54" i="1"/>
  <c r="D52" i="1"/>
  <c r="D38" i="1"/>
  <c r="D8" i="1"/>
  <c r="D51" i="1"/>
  <c r="D37" i="1"/>
  <c r="D58" i="1"/>
  <c r="D50" i="1"/>
  <c r="D62" i="1"/>
  <c r="D43" i="1"/>
  <c r="D35" i="1"/>
  <c r="D33" i="1"/>
  <c r="D53" i="1"/>
  <c r="D9" i="1"/>
  <c r="D64" i="1"/>
  <c r="D31" i="1"/>
  <c r="D25" i="1"/>
  <c r="D57" i="1"/>
  <c r="D2" i="1"/>
  <c r="D61" i="1"/>
</calcChain>
</file>

<file path=xl/sharedStrings.xml><?xml version="1.0" encoding="utf-8"?>
<sst xmlns="http://schemas.openxmlformats.org/spreadsheetml/2006/main" count="473" uniqueCount="330">
  <si>
    <t>State</t>
  </si>
  <si>
    <t>Town</t>
  </si>
  <si>
    <t>Month, Number</t>
  </si>
  <si>
    <t>Week Number</t>
  </si>
  <si>
    <t>Name</t>
  </si>
  <si>
    <t>Distance</t>
  </si>
  <si>
    <t>Drive Time (hrs)</t>
  </si>
  <si>
    <t>Notes</t>
  </si>
  <si>
    <t>Link</t>
  </si>
  <si>
    <t>TX</t>
  </si>
  <si>
    <t>Redford</t>
  </si>
  <si>
    <t>January</t>
  </si>
  <si>
    <t>Big Bend Ultra</t>
  </si>
  <si>
    <t>10K | 20K | 30K | 50K | 50M</t>
  </si>
  <si>
    <t>AL</t>
  </si>
  <si>
    <t>Guntersville</t>
  </si>
  <si>
    <t>February</t>
  </si>
  <si>
    <t>Eagle Ridge</t>
  </si>
  <si>
    <t>Half marathon</t>
  </si>
  <si>
    <t>TN</t>
  </si>
  <si>
    <t>KY</t>
  </si>
  <si>
    <t>March</t>
  </si>
  <si>
    <t>Chattanooga</t>
  </si>
  <si>
    <t>Stump Jump</t>
  </si>
  <si>
    <t>Pine Ridge</t>
  </si>
  <si>
    <t>April</t>
  </si>
  <si>
    <t xml:space="preserve">Red River Gorge </t>
  </si>
  <si>
    <t>25K</t>
  </si>
  <si>
    <t>MA</t>
  </si>
  <si>
    <t>Amherst</t>
  </si>
  <si>
    <t>May</t>
  </si>
  <si>
    <t>Seven Sisters</t>
  </si>
  <si>
    <t>12 mile</t>
  </si>
  <si>
    <t>Extremely technical</t>
  </si>
  <si>
    <t>https://ultrasignup.com/register.aspx?did=94704</t>
  </si>
  <si>
    <t>WI</t>
  </si>
  <si>
    <t>LaGrange</t>
  </si>
  <si>
    <t>Ice Age Trail 50</t>
  </si>
  <si>
    <t>Half Marathon</t>
  </si>
  <si>
    <t>https://iceagetrail50.com/half-marathon/</t>
  </si>
  <si>
    <t xml:space="preserve">CA </t>
  </si>
  <si>
    <t>Mill Valley</t>
  </si>
  <si>
    <t>June</t>
  </si>
  <si>
    <t>Dipsea</t>
  </si>
  <si>
    <t>7.4 mile</t>
  </si>
  <si>
    <t>https://www.dipsea.org/</t>
  </si>
  <si>
    <t>RI</t>
  </si>
  <si>
    <t>Narragansett</t>
  </si>
  <si>
    <t>Blessing of the Fleet 10-Mile Road Race</t>
  </si>
  <si>
    <t>10 mile</t>
  </si>
  <si>
    <t>MD</t>
  </si>
  <si>
    <t>Frederick</t>
  </si>
  <si>
    <t>July</t>
  </si>
  <si>
    <t>Catoctin 50K Trail Run and Half Cat</t>
  </si>
  <si>
    <t>25K | 50K</t>
  </si>
  <si>
    <t>MI</t>
  </si>
  <si>
    <t>Grand Island</t>
  </si>
  <si>
    <t>Half Marathon | Marathon | 50K</t>
  </si>
  <si>
    <t>https://www.greatlakesendurance.com/michigan-races/grand-island-trail-marathon.html</t>
  </si>
  <si>
    <t>NM</t>
  </si>
  <si>
    <t>Red River</t>
  </si>
  <si>
    <t>Enchanted Forest Trail Races</t>
  </si>
  <si>
    <t>Half Marathon | Marathon</t>
  </si>
  <si>
    <t>https://geminiadventures.com/run/enchanted-forest</t>
  </si>
  <si>
    <t>UT</t>
  </si>
  <si>
    <t>Park City</t>
  </si>
  <si>
    <t>PA</t>
  </si>
  <si>
    <t>Cooksburg</t>
  </si>
  <si>
    <t>August</t>
  </si>
  <si>
    <t>Cook Forest 25K Trail Challenge</t>
  </si>
  <si>
    <t>https://ultrasignup.com/register.aspx?did=101288</t>
  </si>
  <si>
    <t>Still Hollow Trail Race</t>
  </si>
  <si>
    <t>Fast</t>
  </si>
  <si>
    <t>https://ultrasignup.com/register.aspx?did=96965</t>
  </si>
  <si>
    <t>MN</t>
  </si>
  <si>
    <t>Lusten</t>
  </si>
  <si>
    <t>September</t>
  </si>
  <si>
    <t>Superior Fall Trail Races</t>
  </si>
  <si>
    <t>Lottery</t>
  </si>
  <si>
    <t>Lock Haven</t>
  </si>
  <si>
    <t>Boulder Beast</t>
  </si>
  <si>
    <t>https://ultrasignup.com/register.aspx?did=97961</t>
  </si>
  <si>
    <t>AZ</t>
  </si>
  <si>
    <t>Flagstaff</t>
  </si>
  <si>
    <t>October</t>
  </si>
  <si>
    <t>Flagstaff Sky Peaks</t>
  </si>
  <si>
    <t>10K | 26K | 50K | 50M</t>
  </si>
  <si>
    <t>Duluth</t>
  </si>
  <si>
    <t>Wild Duluth Races</t>
  </si>
  <si>
    <t>10K | Half Marathon | 50K | 100K</t>
  </si>
  <si>
    <t>Waterville</t>
  </si>
  <si>
    <t>Call of the Wilds Mountain Fest</t>
  </si>
  <si>
    <t>https://ultrasignup.com/register.aspx?did=98847</t>
  </si>
  <si>
    <t>Point Judith</t>
  </si>
  <si>
    <t>Ocean Road 10K</t>
  </si>
  <si>
    <t>10K</t>
  </si>
  <si>
    <t>OH</t>
  </si>
  <si>
    <t>West Portsmouth</t>
  </si>
  <si>
    <t>Shawnee Trail Runs</t>
  </si>
  <si>
    <t>Southern Ohio. Drivable</t>
  </si>
  <si>
    <t>https://ultrasignup.com/register.aspx?did=112499</t>
  </si>
  <si>
    <t>Woodville</t>
  </si>
  <si>
    <t>November</t>
  </si>
  <si>
    <t>Catherdral Caverns Trail Run</t>
  </si>
  <si>
    <t>15K</t>
  </si>
  <si>
    <t>Run through caverns</t>
  </si>
  <si>
    <t>https://ultrasignup.com/register.aspx?did=100949</t>
  </si>
  <si>
    <t>Little Orleans</t>
  </si>
  <si>
    <t>Fire on the Mountain 50K</t>
  </si>
  <si>
    <t>https://ultrasignup.com/register.aspx?did=100673</t>
  </si>
  <si>
    <t>Charlestown</t>
  </si>
  <si>
    <t>Lil' Rhody Runaround Trail Race</t>
  </si>
  <si>
    <t>8 mile</t>
  </si>
  <si>
    <t>https://runsignup.com/Race/RI/Charlestown/LilRhodyRunaround</t>
  </si>
  <si>
    <t>Jasper</t>
  </si>
  <si>
    <t>Fiery Gizzard</t>
  </si>
  <si>
    <t>https://ultrasignup.com/register.aspx?did=112912</t>
  </si>
  <si>
    <t>Slade</t>
  </si>
  <si>
    <t>Cantucky Y'All</t>
  </si>
  <si>
    <t>15K | 50K</t>
  </si>
  <si>
    <t>Red River Gorge</t>
  </si>
  <si>
    <t>https://ultrasignup.com/register.aspx?did=115275</t>
  </si>
  <si>
    <t>Bad Beard Events River Gorge Trail Race</t>
  </si>
  <si>
    <t>6.5 | 10.2 | 20</t>
  </si>
  <si>
    <t>https://ultrasignup.com/register.aspx?did=109621</t>
  </si>
  <si>
    <t>Huntsville</t>
  </si>
  <si>
    <t>Wade Mountain Marathon</t>
  </si>
  <si>
    <t>10K | Half Marathon | Marathon</t>
  </si>
  <si>
    <t>https://ultrasignup.com/register.aspx?did=111058</t>
  </si>
  <si>
    <t>DE</t>
  </si>
  <si>
    <t>Willmington</t>
  </si>
  <si>
    <t>First State Trail Race</t>
  </si>
  <si>
    <t>10K | 25K | 50K</t>
  </si>
  <si>
    <t>https://runningintheusa.com/details/165892</t>
  </si>
  <si>
    <t>Bear</t>
  </si>
  <si>
    <t>Bear Trail Half Marathon</t>
  </si>
  <si>
    <t>10K | Half Marathon</t>
  </si>
  <si>
    <t>https://runningintheusa.com/details/95611</t>
  </si>
  <si>
    <t>Frankford</t>
  </si>
  <si>
    <t>Mariners Bethel Trail Run</t>
  </si>
  <si>
    <t xml:space="preserve">5K | 10K </t>
  </si>
  <si>
    <t>https://runningintheusa.com/details/18355</t>
  </si>
  <si>
    <t>IN</t>
  </si>
  <si>
    <t>Nashville</t>
  </si>
  <si>
    <t>Tecumseh Trail Challenge</t>
  </si>
  <si>
    <t>8 mile | Half Marathon | Marathon | 50K</t>
  </si>
  <si>
    <t>https://ultrasignup.com/register.aspx?did=113476</t>
  </si>
  <si>
    <t>Poland</t>
  </si>
  <si>
    <t>OPSF 50|50</t>
  </si>
  <si>
    <t>10K | 14 mile | 50K | 50 mile</t>
  </si>
  <si>
    <t>https://ultrasignup.com/register.aspx?did=115078</t>
  </si>
  <si>
    <t>Borden</t>
  </si>
  <si>
    <t>Sorta Moutain Stage Race</t>
  </si>
  <si>
    <t>5 mile | Half Marathon | 18 mile</t>
  </si>
  <si>
    <t>https://ultrasignup.com/register.aspx?did=113314</t>
  </si>
  <si>
    <t>https://ultrasignup.com/register.aspx?did=107151</t>
  </si>
  <si>
    <t>Taos</t>
  </si>
  <si>
    <t>Bull of the Woods Trail Races</t>
  </si>
  <si>
    <t>https://ultrasignup.com/register.aspx?did=112084</t>
  </si>
  <si>
    <t>Santa Fe</t>
  </si>
  <si>
    <t>The Big T</t>
  </si>
  <si>
    <t>https://runsignup.com/Race/NM/SantaFe/TheBigT?aflt_token=vkmwDmweQ4iCYn8otSOOnKQ3vCO8buOw</t>
  </si>
  <si>
    <t>AR</t>
  </si>
  <si>
    <t>Hot Springs</t>
  </si>
  <si>
    <t>Hot Springs Half Marathon</t>
  </si>
  <si>
    <t>https://runsignup.com/Race/AR/HotSprings/HotSpringsHalfMarathon?aflt_token=vkmwDmweQ4iCYn8otSOOnKQ3vCO8buOw</t>
  </si>
  <si>
    <t>Morrilton</t>
  </si>
  <si>
    <t>Hoof it For Heifer</t>
  </si>
  <si>
    <t>20K</t>
  </si>
  <si>
    <t>https://ultrasignup.com/register.aspx?did=115427</t>
  </si>
  <si>
    <t>Greenbriar</t>
  </si>
  <si>
    <t>Woolly Hollow Trail Half Marathon</t>
  </si>
  <si>
    <t>https://www.woollyhollowtrailhalf.com/</t>
  </si>
  <si>
    <t>MO</t>
  </si>
  <si>
    <t>December</t>
  </si>
  <si>
    <t>Wildwood</t>
  </si>
  <si>
    <t>Wildwood Trail Marathon</t>
  </si>
  <si>
    <t>Near St. Louis</t>
  </si>
  <si>
    <t>https://ultrasignup.com/register.aspx?did=115289</t>
  </si>
  <si>
    <t>Boston</t>
  </si>
  <si>
    <t>Run With Scissors</t>
  </si>
  <si>
    <t>Half Marathon | Marathon | Double Marathon</t>
  </si>
  <si>
    <t>In Cuyahoga Valley NP</t>
  </si>
  <si>
    <t>https://ultrasignup.com/register.aspx?did=117543</t>
  </si>
  <si>
    <t>IA</t>
  </si>
  <si>
    <t>https://ultrasignup.com/register.aspx?did=115082</t>
  </si>
  <si>
    <t>Dubuque</t>
  </si>
  <si>
    <t>Miner 49er</t>
  </si>
  <si>
    <t>Completed</t>
  </si>
  <si>
    <t>Iron Furnace Trail Run</t>
  </si>
  <si>
    <t>https://ultrasignup.com/register.aspx?did=121314</t>
  </si>
  <si>
    <t>McArthur</t>
  </si>
  <si>
    <t>https://ultrasignup.com/register.aspx?did=123189</t>
  </si>
  <si>
    <t>Pittsfield</t>
  </si>
  <si>
    <t>Free to Run Trail Races</t>
  </si>
  <si>
    <t>15K | 25K | 50K</t>
  </si>
  <si>
    <t>Lake Tahoe</t>
  </si>
  <si>
    <t>https://tahoetrailrunning.com/emerald-bay-trail-run/</t>
  </si>
  <si>
    <t>Emerald Bay Trail Run</t>
  </si>
  <si>
    <t>7 Mile</t>
  </si>
  <si>
    <t>Latitude</t>
  </si>
  <si>
    <t>Longitude</t>
  </si>
  <si>
    <t>State Name</t>
  </si>
  <si>
    <t>Alabama</t>
  </si>
  <si>
    <t>Arkansas</t>
  </si>
  <si>
    <t>Arizona</t>
  </si>
  <si>
    <t>California</t>
  </si>
  <si>
    <t>Deleware</t>
  </si>
  <si>
    <t>Iowa</t>
  </si>
  <si>
    <t>Indiana</t>
  </si>
  <si>
    <t>Kentucky</t>
  </si>
  <si>
    <t>Massachusetts</t>
  </si>
  <si>
    <t>Maryland</t>
  </si>
  <si>
    <t>Grand Island Trail Race</t>
  </si>
  <si>
    <t>Michigan</t>
  </si>
  <si>
    <t>Minnesota</t>
  </si>
  <si>
    <t>Missouri</t>
  </si>
  <si>
    <t>New Mexico</t>
  </si>
  <si>
    <t>Ohio</t>
  </si>
  <si>
    <t>Pennsylvania</t>
  </si>
  <si>
    <t>Rhode Island</t>
  </si>
  <si>
    <t>Tennessee</t>
  </si>
  <si>
    <t>Texas</t>
  </si>
  <si>
    <t>Utah</t>
  </si>
  <si>
    <t>https://www.aravaiparunning.com/skypeaks/</t>
  </si>
  <si>
    <t>https://ultrasignup.com/register.aspx?did=117259</t>
  </si>
  <si>
    <t>https://ultrasignup.com/register.aspx?did=12+[@Lo+[@Latitude]</t>
  </si>
  <si>
    <t>https://www.superiorfalltrailrace.com/</t>
  </si>
  <si>
    <t>https://www.wildduluthraces.com/</t>
  </si>
  <si>
    <t>https://narragansettlionsclub.org/annual-events/blessing-of-the-fleet-celebration/</t>
  </si>
  <si>
    <t>https://oceanroad10k.com/</t>
  </si>
  <si>
    <t>https://trailroots.com/big-bend-ultra</t>
  </si>
  <si>
    <t>Jupiter Peak</t>
  </si>
  <si>
    <t>https://runsignup.com/Race/UT/ParkCity/TripleTrail</t>
  </si>
  <si>
    <t>Month</t>
  </si>
  <si>
    <t>LA</t>
  </si>
  <si>
    <t>Lousiana</t>
  </si>
  <si>
    <t>Ville Platte</t>
  </si>
  <si>
    <t>Loup Garou Trail Run</t>
  </si>
  <si>
    <t>https://ultrasignup.com/register.aspx?did=122275</t>
  </si>
  <si>
    <t>Doyline</t>
  </si>
  <si>
    <t>El Diablo Hundo</t>
  </si>
  <si>
    <t>https://ultrasignup.com/register.aspx?did=116016</t>
  </si>
  <si>
    <t>MS</t>
  </si>
  <si>
    <t>Mississippi</t>
  </si>
  <si>
    <t>Quitman</t>
  </si>
  <si>
    <t>The Ivy Trek Ultra</t>
  </si>
  <si>
    <t>12.5K | 25K | 50K</t>
  </si>
  <si>
    <t>https://ultrasignup.com/register.aspx?did=123417</t>
  </si>
  <si>
    <t>https://ultrasignup.com/register.aspx?did=114504</t>
  </si>
  <si>
    <t>Laurel</t>
  </si>
  <si>
    <t>Mississippi Trail 50</t>
  </si>
  <si>
    <t>https://www.badbeardevents.com/featured-races/stump-jump-50k-and-10-mile</t>
  </si>
  <si>
    <t>20 mile | 40 mile | 60 mile | 100 mile</t>
  </si>
  <si>
    <t>25K | 100K | 100 mile</t>
  </si>
  <si>
    <t>20K | 50K | 50 mile | 100 mile</t>
  </si>
  <si>
    <t>Marathon | 50 mile | 100 mile</t>
  </si>
  <si>
    <t>Half Marathon | 50K  | 50 mile</t>
  </si>
  <si>
    <t>25K | 24 mile</t>
  </si>
  <si>
    <t>10 mile | 50 mile</t>
  </si>
  <si>
    <t>Half Marathon | 26 mile</t>
  </si>
  <si>
    <t>https://www.goatz.org/crown-of-the-crest</t>
  </si>
  <si>
    <t>NE</t>
  </si>
  <si>
    <t>Nebraska</t>
  </si>
  <si>
    <t>Fremont</t>
  </si>
  <si>
    <t>Crown of the Crest</t>
  </si>
  <si>
    <t>Half Marathon | Marathon | 13 hour | 100 mile</t>
  </si>
  <si>
    <t>CT</t>
  </si>
  <si>
    <t>Wisconsin</t>
  </si>
  <si>
    <t>Connecticut</t>
  </si>
  <si>
    <t>Ashford</t>
  </si>
  <si>
    <t>Nipmuck Trail Marathon</t>
  </si>
  <si>
    <t>Marathon</t>
  </si>
  <si>
    <t>https://ultrasignup.com/register.aspx?did=122310</t>
  </si>
  <si>
    <t>https://taosskivalley.com/up-over-10k-trail-run/</t>
  </si>
  <si>
    <t>Up &amp; Over Trail Run</t>
  </si>
  <si>
    <t>10K | Vertical K</t>
  </si>
  <si>
    <t>https://www.evergreentrailruns.com/devils-gulch/</t>
  </si>
  <si>
    <t>WA</t>
  </si>
  <si>
    <t>Washington</t>
  </si>
  <si>
    <t>Wenatchee</t>
  </si>
  <si>
    <t>Devil's Gulch</t>
  </si>
  <si>
    <t>Half Marathon | 50 mile | 100 mile</t>
  </si>
  <si>
    <t>Belmont</t>
  </si>
  <si>
    <t>https://switchbackendurance.com/races/dirty-burg/</t>
  </si>
  <si>
    <t>Dirty Burg</t>
  </si>
  <si>
    <t>5K | 10K | 25K | 50K</t>
  </si>
  <si>
    <t>SD</t>
  </si>
  <si>
    <t>South Dakota</t>
  </si>
  <si>
    <t>Mickelson Trail Marathon</t>
  </si>
  <si>
    <t>https://www.deadwoodmickelsontrailmarathon.com/race-info/course-info</t>
  </si>
  <si>
    <t>Deadwood</t>
  </si>
  <si>
    <t>FL</t>
  </si>
  <si>
    <t>https://ultrasignup.com/register.aspx?did=124784</t>
  </si>
  <si>
    <t>Florida</t>
  </si>
  <si>
    <t>Middleburg</t>
  </si>
  <si>
    <t>Festivus Trail Run</t>
  </si>
  <si>
    <t>14 mile | 35 mile | 50 mille | 100 mile</t>
  </si>
  <si>
    <t>https://ultrasignup.com/register.aspx?did=113210</t>
  </si>
  <si>
    <t>Two Prairies Ultra</t>
  </si>
  <si>
    <t>Fort McCoy</t>
  </si>
  <si>
    <t>30K | 50K</t>
  </si>
  <si>
    <t>Madre's Fiesta</t>
  </si>
  <si>
    <t>7K | 14K | Half Marathon</t>
  </si>
  <si>
    <t>https://ultrasignup.com/register.aspx?did=121685</t>
  </si>
  <si>
    <t>Gate2Gate</t>
  </si>
  <si>
    <t>https://ultrasignup.com/register.aspx?did=120771</t>
  </si>
  <si>
    <t>Alachua</t>
  </si>
  <si>
    <t>https://ultrasignup.com/register.aspx?did=121644</t>
  </si>
  <si>
    <t>Wild Florida Trail Run</t>
  </si>
  <si>
    <t>Run Bum</t>
  </si>
  <si>
    <t>White Springs</t>
  </si>
  <si>
    <t>Fernandina Beach</t>
  </si>
  <si>
    <t>Florida Roots Trail Series: Fort Clinch</t>
  </si>
  <si>
    <t>10K | 30K | 50K</t>
  </si>
  <si>
    <t>https://ultrasignup.com/register.aspx?did=125205</t>
  </si>
  <si>
    <t>Morehead</t>
  </si>
  <si>
    <t>Big Turtle Trail Run</t>
  </si>
  <si>
    <t>10 mile | 50K | 50 mile</t>
  </si>
  <si>
    <t>https://ultrasignup.com/register.aspx?did=117942</t>
  </si>
  <si>
    <t>Hyden</t>
  </si>
  <si>
    <t>War Bird 100</t>
  </si>
  <si>
    <t>Half Marathon | 50K | 100 mile</t>
  </si>
  <si>
    <t>https://ultrasignup.com/register.aspx?did=125856</t>
  </si>
  <si>
    <t>ND</t>
  </si>
  <si>
    <t>North Darkota</t>
  </si>
  <si>
    <t>https://www.experienceland.org/maah-daah-hey-trailrun</t>
  </si>
  <si>
    <t>Maah Daah Hey Trail Run</t>
  </si>
  <si>
    <t>Medora</t>
  </si>
  <si>
    <t>5K | 10K | Half Marathon | Marathon | 81 mile | 107 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</si>
</sst>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4" fillId="0" borderId="0" xfId="0" applyFont="1" applyAlignment="1">
      <alignment wrapText="1"/>
    </xf>
    <xf numFmtId="0" fontId="6" fillId="0" borderId="0" xfId="1" applyFont="1"/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B58A4-2CFD-4345-9794-A23A1DB3B6E7}" name="Table1" displayName="Table1" ref="A1:N65" totalsRowShown="0">
  <autoFilter ref="A1:N65" xr:uid="{00000000-0009-0000-0000-000000000000}"/>
  <sortState xmlns:xlrd2="http://schemas.microsoft.com/office/spreadsheetml/2017/richdata2" ref="A2:N64">
    <sortCondition ref="A1:A64"/>
  </sortState>
  <tableColumns count="14">
    <tableColumn id="1" xr3:uid="{C496E1E6-0BEB-1B44-989E-C7AA596C9564}" name="State"/>
    <tableColumn id="14" xr3:uid="{28628D3C-7AC2-D14D-BD8F-081550C6DF39}" name="State Name"/>
    <tableColumn id="2" xr3:uid="{67D33804-A456-1542-84B6-BBE09D2B0CEC}" name="Town"/>
    <tableColumn id="3" xr3:uid="{E13EA067-2702-594C-9E28-8DB6C9D7D4F0}" name="Month, Number"/>
    <tableColumn id="4" xr3:uid="{C62C4C73-DCEE-704D-B194-AED1E9D3C9E6}" name="Month"/>
    <tableColumn id="5" xr3:uid="{91E8870C-32D2-BC43-9311-6335EB5BB204}" name="Week Number"/>
    <tableColumn id="6" xr3:uid="{95163D2C-FAD4-BC4C-8C91-0406FA8AB64C}" name="Name"/>
    <tableColumn id="7" xr3:uid="{CDD07569-20BE-BA43-9CC5-329F5A62477C}" name="Distance"/>
    <tableColumn id="11" xr3:uid="{78369550-8DC7-454C-AA01-68D3FCD2EAB6}" name="Completed"/>
    <tableColumn id="8" xr3:uid="{63C3A07D-D005-7843-9E54-61B8D0CDB1C8}" name="Drive Time (hrs)"/>
    <tableColumn id="9" xr3:uid="{E7E1EE64-11CF-FE4A-B49C-DF9E92BF7A44}" name="Notes"/>
    <tableColumn id="12" xr3:uid="{5F62B153-4A32-3244-9742-E9AC137CF5B5}" name="Latitude"/>
    <tableColumn id="13" xr3:uid="{1A51B6EA-2B3B-2843-BBFE-EDF0C8A2AB19}" name="Longitude"/>
    <tableColumn id="10" xr3:uid="{187136A8-FEDC-6E41-B43A-19D915CB17F3}" name="Link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unsignup.com/Race/RI/Charlestown/LilRhodyRunaround" TargetMode="External"/><Relationship Id="rId18" Type="http://schemas.openxmlformats.org/officeDocument/2006/relationships/hyperlink" Target="https://runningintheusa.com/details/165892" TargetMode="External"/><Relationship Id="rId26" Type="http://schemas.openxmlformats.org/officeDocument/2006/relationships/hyperlink" Target="https://ultrasignup.com/register.aspx?did=115289" TargetMode="External"/><Relationship Id="rId21" Type="http://schemas.openxmlformats.org/officeDocument/2006/relationships/hyperlink" Target="https://ultrasignup.com/register.aspx?did=113476" TargetMode="External"/><Relationship Id="rId34" Type="http://schemas.openxmlformats.org/officeDocument/2006/relationships/hyperlink" Target="https://www.badbeardevents.com/featured-races/stump-jump-50k-and-10-miler" TargetMode="External"/><Relationship Id="rId7" Type="http://schemas.openxmlformats.org/officeDocument/2006/relationships/hyperlink" Target="https://ultrasignup.com/register.aspx?did=96965" TargetMode="External"/><Relationship Id="rId12" Type="http://schemas.openxmlformats.org/officeDocument/2006/relationships/hyperlink" Target="https://ultrasignup.com/register.aspx?did=100673" TargetMode="External"/><Relationship Id="rId17" Type="http://schemas.openxmlformats.org/officeDocument/2006/relationships/hyperlink" Target="https://ultrasignup.com/register.aspx?did=111058" TargetMode="External"/><Relationship Id="rId25" Type="http://schemas.openxmlformats.org/officeDocument/2006/relationships/hyperlink" Target="https://runsignup.com/Race/AR/HotSprings/HotSpringsHalfMarathon?aflt_token=vkmwDmweQ4iCYn8otSOOnKQ3vCO8buOw" TargetMode="External"/><Relationship Id="rId33" Type="http://schemas.openxmlformats.org/officeDocument/2006/relationships/hyperlink" Target="https://ultrasignup.com/register.aspx?did=121314" TargetMode="External"/><Relationship Id="rId2" Type="http://schemas.openxmlformats.org/officeDocument/2006/relationships/hyperlink" Target="https://iceagetrail50.com/half-marathon/" TargetMode="External"/><Relationship Id="rId16" Type="http://schemas.openxmlformats.org/officeDocument/2006/relationships/hyperlink" Target="https://ultrasignup.com/register.aspx?did=109621" TargetMode="External"/><Relationship Id="rId20" Type="http://schemas.openxmlformats.org/officeDocument/2006/relationships/hyperlink" Target="https://runningintheusa.com/details/18355" TargetMode="External"/><Relationship Id="rId29" Type="http://schemas.openxmlformats.org/officeDocument/2006/relationships/hyperlink" Target="https://ultrasignup.com/register.aspx?did=115082" TargetMode="External"/><Relationship Id="rId1" Type="http://schemas.openxmlformats.org/officeDocument/2006/relationships/hyperlink" Target="https://ultrasignup.com/register.aspx?did=94704" TargetMode="External"/><Relationship Id="rId6" Type="http://schemas.openxmlformats.org/officeDocument/2006/relationships/hyperlink" Target="https://ultrasignup.com/register.aspx?did=101288" TargetMode="External"/><Relationship Id="rId11" Type="http://schemas.openxmlformats.org/officeDocument/2006/relationships/hyperlink" Target="https://ultrasignup.com/register.aspx?did=100949" TargetMode="External"/><Relationship Id="rId24" Type="http://schemas.openxmlformats.org/officeDocument/2006/relationships/hyperlink" Target="https://ultrasignup.com/register.aspx?did=112084" TargetMode="External"/><Relationship Id="rId32" Type="http://schemas.openxmlformats.org/officeDocument/2006/relationships/hyperlink" Target="https://ultrasignup.com/register.aspx?did=117543" TargetMode="External"/><Relationship Id="rId37" Type="http://schemas.openxmlformats.org/officeDocument/2006/relationships/table" Target="../tables/table1.xml"/><Relationship Id="rId5" Type="http://schemas.openxmlformats.org/officeDocument/2006/relationships/hyperlink" Target="https://geminiadventures.com/run/enchanted-forest" TargetMode="External"/><Relationship Id="rId15" Type="http://schemas.openxmlformats.org/officeDocument/2006/relationships/hyperlink" Target="https://ultrasignup.com/register.aspx?did=115275" TargetMode="External"/><Relationship Id="rId23" Type="http://schemas.openxmlformats.org/officeDocument/2006/relationships/hyperlink" Target="https://ultrasignup.com/register.aspx?did=113314" TargetMode="External"/><Relationship Id="rId28" Type="http://schemas.openxmlformats.org/officeDocument/2006/relationships/hyperlink" Target="https://www.woollyhollowtrailhalf.com/" TargetMode="External"/><Relationship Id="rId36" Type="http://schemas.openxmlformats.org/officeDocument/2006/relationships/hyperlink" Target="https://www.google.com/maps/place/38%C2%B011'28.8%22N+83%C2%B025'53.1%22W/@38.1913353,-83.4325027,427m/data=!3m2!1e3!4b1!4m4!3m3!8m2!3d38.1913335!4d-83.4314201!5m1!1e1?entry=ttu&amp;g_ep=EgoyMDI1MDQxNi4xIKXMDSoASAFQAw%3D%3D" TargetMode="External"/><Relationship Id="rId10" Type="http://schemas.openxmlformats.org/officeDocument/2006/relationships/hyperlink" Target="https://ultrasignup.com/register.aspx?did=112499" TargetMode="External"/><Relationship Id="rId19" Type="http://schemas.openxmlformats.org/officeDocument/2006/relationships/hyperlink" Target="https://runningintheusa.com/details/95611" TargetMode="External"/><Relationship Id="rId31" Type="http://schemas.openxmlformats.org/officeDocument/2006/relationships/hyperlink" Target="https://ultrasignup.com/register.aspx?did=123189" TargetMode="External"/><Relationship Id="rId4" Type="http://schemas.openxmlformats.org/officeDocument/2006/relationships/hyperlink" Target="https://www.greatlakesendurance.com/michigan-races/grand-island-trail-marathon.html" TargetMode="External"/><Relationship Id="rId9" Type="http://schemas.openxmlformats.org/officeDocument/2006/relationships/hyperlink" Target="https://ultrasignup.com/register.aspx?did=98847" TargetMode="External"/><Relationship Id="rId14" Type="http://schemas.openxmlformats.org/officeDocument/2006/relationships/hyperlink" Target="https://ultrasignup.com/register.aspx?did=112912" TargetMode="External"/><Relationship Id="rId22" Type="http://schemas.openxmlformats.org/officeDocument/2006/relationships/hyperlink" Target="https://ultrasignup.com/register.aspx?did=115078" TargetMode="External"/><Relationship Id="rId27" Type="http://schemas.openxmlformats.org/officeDocument/2006/relationships/hyperlink" Target="https://ultrasignup.com/register.aspx?did=107151" TargetMode="External"/><Relationship Id="rId30" Type="http://schemas.openxmlformats.org/officeDocument/2006/relationships/hyperlink" Target="https://ultrasignup.com/register.aspx?did=121875" TargetMode="External"/><Relationship Id="rId35" Type="http://schemas.openxmlformats.org/officeDocument/2006/relationships/hyperlink" Target="https://www.google.com/maps/place/38%C2%B011'28.8%22N+83%C2%B025'53.1%22W/@38.1913353,-83.4325027,427m/data=!3m2!1e3!4b1!4m4!3m3!8m2!3d38.1913335!4d-83.4314201!5m1!1e1?entry=ttu&amp;g_ep=EgoyMDI1MDQxNi4xIKXMDSoASAFQAw%3D%3D" TargetMode="External"/><Relationship Id="rId8" Type="http://schemas.openxmlformats.org/officeDocument/2006/relationships/hyperlink" Target="https://ultrasignup.com/register.aspx?did=97961" TargetMode="External"/><Relationship Id="rId3" Type="http://schemas.openxmlformats.org/officeDocument/2006/relationships/hyperlink" Target="https://www.dipse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5"/>
  <sheetViews>
    <sheetView tabSelected="1" topLeftCell="J37" zoomScale="159" workbookViewId="0">
      <selection activeCell="M66" sqref="M66"/>
    </sheetView>
  </sheetViews>
  <sheetFormatPr baseColWidth="10" defaultColWidth="12.6640625" defaultRowHeight="15.75" customHeight="1" x14ac:dyDescent="0.15"/>
  <cols>
    <col min="3" max="3" width="14.33203125" bestFit="1" customWidth="1"/>
    <col min="4" max="4" width="15.33203125" customWidth="1"/>
    <col min="5" max="5" width="14" customWidth="1"/>
    <col min="6" max="6" width="14.6640625" customWidth="1"/>
    <col min="7" max="7" width="33.83203125" bestFit="1" customWidth="1"/>
    <col min="8" max="8" width="32.1640625" bestFit="1" customWidth="1"/>
    <col min="9" max="9" width="32.1640625" customWidth="1"/>
    <col min="10" max="13" width="16.5" customWidth="1"/>
    <col min="14" max="14" width="69" bestFit="1" customWidth="1"/>
  </cols>
  <sheetData>
    <row r="1" spans="1:14" ht="15.75" customHeight="1" x14ac:dyDescent="0.15">
      <c r="A1" t="s">
        <v>0</v>
      </c>
      <c r="B1" s="4" t="s">
        <v>202</v>
      </c>
      <c r="C1" t="s">
        <v>1</v>
      </c>
      <c r="D1" t="s">
        <v>2</v>
      </c>
      <c r="E1" s="4" t="s">
        <v>234</v>
      </c>
      <c r="F1" t="s">
        <v>3</v>
      </c>
      <c r="G1" t="s">
        <v>4</v>
      </c>
      <c r="H1" t="s">
        <v>5</v>
      </c>
      <c r="I1" s="4" t="s">
        <v>188</v>
      </c>
      <c r="J1" t="s">
        <v>6</v>
      </c>
      <c r="K1" t="s">
        <v>7</v>
      </c>
      <c r="L1" s="4" t="s">
        <v>200</v>
      </c>
      <c r="M1" s="4" t="s">
        <v>201</v>
      </c>
      <c r="N1" s="1" t="s">
        <v>8</v>
      </c>
    </row>
    <row r="2" spans="1:14" ht="15.75" customHeight="1" x14ac:dyDescent="0.15">
      <c r="A2" t="s">
        <v>14</v>
      </c>
      <c r="B2" s="4" t="s">
        <v>203</v>
      </c>
      <c r="C2" t="s">
        <v>15</v>
      </c>
      <c r="D2">
        <f>MONTH(E2&amp;1)</f>
        <v>2</v>
      </c>
      <c r="E2" t="s">
        <v>16</v>
      </c>
      <c r="G2" t="s">
        <v>17</v>
      </c>
      <c r="H2" s="4" t="s">
        <v>38</v>
      </c>
      <c r="I2" s="4"/>
      <c r="L2">
        <v>34.395277999999998</v>
      </c>
      <c r="M2">
        <v>-86.205027999999999</v>
      </c>
      <c r="N2" s="5" t="s">
        <v>155</v>
      </c>
    </row>
    <row r="3" spans="1:14" ht="15.75" customHeight="1" x14ac:dyDescent="0.15">
      <c r="A3" t="s">
        <v>14</v>
      </c>
      <c r="B3" s="4" t="s">
        <v>203</v>
      </c>
      <c r="C3" t="s">
        <v>125</v>
      </c>
      <c r="D3">
        <v>10</v>
      </c>
      <c r="E3" t="s">
        <v>84</v>
      </c>
      <c r="F3">
        <v>3</v>
      </c>
      <c r="G3" t="s">
        <v>126</v>
      </c>
      <c r="H3" t="s">
        <v>127</v>
      </c>
      <c r="J3">
        <v>7</v>
      </c>
      <c r="L3">
        <v>34.807521999999999</v>
      </c>
      <c r="M3">
        <v>-86.589820000000003</v>
      </c>
      <c r="N3" s="3" t="s">
        <v>128</v>
      </c>
    </row>
    <row r="4" spans="1:14" ht="15.75" customHeight="1" x14ac:dyDescent="0.15">
      <c r="A4" t="s">
        <v>14</v>
      </c>
      <c r="B4" s="4" t="s">
        <v>203</v>
      </c>
      <c r="C4" t="s">
        <v>101</v>
      </c>
      <c r="D4">
        <f>MONTH(E4&amp;1)</f>
        <v>11</v>
      </c>
      <c r="E4" t="s">
        <v>102</v>
      </c>
      <c r="F4">
        <v>1</v>
      </c>
      <c r="G4" t="s">
        <v>103</v>
      </c>
      <c r="H4" t="s">
        <v>104</v>
      </c>
      <c r="J4">
        <v>7</v>
      </c>
      <c r="K4" t="s">
        <v>105</v>
      </c>
      <c r="L4">
        <v>34.573129999999999</v>
      </c>
      <c r="M4">
        <v>-86.220597999999995</v>
      </c>
      <c r="N4" s="2" t="s">
        <v>106</v>
      </c>
    </row>
    <row r="5" spans="1:14" ht="15.75" customHeight="1" x14ac:dyDescent="0.15">
      <c r="A5" s="4" t="s">
        <v>162</v>
      </c>
      <c r="B5" s="4" t="s">
        <v>204</v>
      </c>
      <c r="C5" s="4" t="s">
        <v>170</v>
      </c>
      <c r="D5">
        <v>1</v>
      </c>
      <c r="E5" s="4" t="s">
        <v>11</v>
      </c>
      <c r="F5">
        <v>2</v>
      </c>
      <c r="G5" s="4" t="s">
        <v>171</v>
      </c>
      <c r="H5" s="4" t="s">
        <v>38</v>
      </c>
      <c r="I5" s="4"/>
      <c r="L5">
        <v>35.288297</v>
      </c>
      <c r="M5">
        <v>-92.286951000000002</v>
      </c>
      <c r="N5" s="5" t="s">
        <v>172</v>
      </c>
    </row>
    <row r="6" spans="1:14" ht="15.75" customHeight="1" x14ac:dyDescent="0.15">
      <c r="A6" s="4" t="s">
        <v>162</v>
      </c>
      <c r="B6" s="4" t="s">
        <v>204</v>
      </c>
      <c r="C6" s="4" t="s">
        <v>163</v>
      </c>
      <c r="D6">
        <v>2</v>
      </c>
      <c r="E6" s="4" t="s">
        <v>16</v>
      </c>
      <c r="F6">
        <v>1</v>
      </c>
      <c r="G6" s="4" t="s">
        <v>164</v>
      </c>
      <c r="H6" s="4" t="s">
        <v>38</v>
      </c>
      <c r="I6" s="4" t="s">
        <v>188</v>
      </c>
      <c r="L6">
        <v>34.537860999999999</v>
      </c>
      <c r="M6">
        <v>-93.060249999999996</v>
      </c>
      <c r="N6" s="5" t="s">
        <v>165</v>
      </c>
    </row>
    <row r="7" spans="1:14" ht="15.75" customHeight="1" x14ac:dyDescent="0.15">
      <c r="A7" s="4" t="s">
        <v>162</v>
      </c>
      <c r="B7" s="4" t="s">
        <v>204</v>
      </c>
      <c r="C7" s="4" t="s">
        <v>166</v>
      </c>
      <c r="D7">
        <v>4</v>
      </c>
      <c r="E7" s="4" t="s">
        <v>25</v>
      </c>
      <c r="F7">
        <v>1</v>
      </c>
      <c r="G7" s="4" t="s">
        <v>167</v>
      </c>
      <c r="H7" s="4" t="s">
        <v>168</v>
      </c>
      <c r="I7" s="4"/>
      <c r="L7">
        <v>35.127656000000002</v>
      </c>
      <c r="M7">
        <v>-92.924508000000003</v>
      </c>
      <c r="N7" s="2" t="s">
        <v>169</v>
      </c>
    </row>
    <row r="8" spans="1:14" ht="15.75" customHeight="1" x14ac:dyDescent="0.15">
      <c r="A8" t="s">
        <v>82</v>
      </c>
      <c r="B8" s="4" t="s">
        <v>205</v>
      </c>
      <c r="C8" t="s">
        <v>83</v>
      </c>
      <c r="D8">
        <f>MONTH(E8&amp;1)</f>
        <v>10</v>
      </c>
      <c r="E8" t="s">
        <v>84</v>
      </c>
      <c r="G8" t="s">
        <v>85</v>
      </c>
      <c r="H8" t="s">
        <v>86</v>
      </c>
      <c r="L8">
        <v>35.249509000000003</v>
      </c>
      <c r="M8">
        <v>-111.686966</v>
      </c>
      <c r="N8" t="s">
        <v>224</v>
      </c>
    </row>
    <row r="9" spans="1:14" ht="15.75" customHeight="1" x14ac:dyDescent="0.15">
      <c r="A9" t="s">
        <v>40</v>
      </c>
      <c r="B9" s="4" t="s">
        <v>206</v>
      </c>
      <c r="C9" t="s">
        <v>41</v>
      </c>
      <c r="D9">
        <f>MONTH(E9&amp;1)</f>
        <v>6</v>
      </c>
      <c r="E9" t="s">
        <v>42</v>
      </c>
      <c r="G9" t="s">
        <v>43</v>
      </c>
      <c r="H9" t="s">
        <v>44</v>
      </c>
      <c r="L9" s="6">
        <v>37.906025999999997</v>
      </c>
      <c r="M9">
        <v>-122.54787899999999</v>
      </c>
      <c r="N9" s="2" t="s">
        <v>45</v>
      </c>
    </row>
    <row r="10" spans="1:14" ht="15.75" customHeight="1" x14ac:dyDescent="0.15">
      <c r="A10" s="4" t="s">
        <v>40</v>
      </c>
      <c r="B10" s="4" t="s">
        <v>206</v>
      </c>
      <c r="C10" s="4" t="s">
        <v>196</v>
      </c>
      <c r="D10">
        <v>9</v>
      </c>
      <c r="E10" s="4" t="s">
        <v>76</v>
      </c>
      <c r="F10">
        <v>1</v>
      </c>
      <c r="G10" s="4" t="s">
        <v>198</v>
      </c>
      <c r="H10" s="4" t="s">
        <v>199</v>
      </c>
      <c r="L10">
        <v>38.984344823039898</v>
      </c>
      <c r="M10">
        <v>38.984344823039898</v>
      </c>
      <c r="N10" s="2" t="s">
        <v>197</v>
      </c>
    </row>
    <row r="11" spans="1:14" ht="15.75" customHeight="1" x14ac:dyDescent="0.15">
      <c r="A11" s="4" t="s">
        <v>267</v>
      </c>
      <c r="B11" s="4" t="s">
        <v>269</v>
      </c>
      <c r="C11" s="4" t="s">
        <v>270</v>
      </c>
      <c r="D11">
        <v>10</v>
      </c>
      <c r="E11" s="4" t="s">
        <v>84</v>
      </c>
      <c r="F11">
        <v>1</v>
      </c>
      <c r="G11" s="4" t="s">
        <v>271</v>
      </c>
      <c r="H11" s="4" t="s">
        <v>272</v>
      </c>
      <c r="L11">
        <v>41.879522000000001</v>
      </c>
      <c r="M11">
        <v>-72.195884000000007</v>
      </c>
      <c r="N11" s="2" t="s">
        <v>273</v>
      </c>
    </row>
    <row r="12" spans="1:14" ht="15.75" customHeight="1" x14ac:dyDescent="0.15">
      <c r="A12" t="s">
        <v>129</v>
      </c>
      <c r="B12" s="4" t="s">
        <v>207</v>
      </c>
      <c r="C12" t="s">
        <v>130</v>
      </c>
      <c r="D12">
        <v>5</v>
      </c>
      <c r="E12" t="s">
        <v>30</v>
      </c>
      <c r="F12">
        <v>3</v>
      </c>
      <c r="G12" t="s">
        <v>131</v>
      </c>
      <c r="H12" t="s">
        <v>132</v>
      </c>
      <c r="J12">
        <v>8</v>
      </c>
      <c r="L12">
        <v>39.829008999999999</v>
      </c>
      <c r="M12">
        <v>-75.571515000000005</v>
      </c>
      <c r="N12" s="2" t="s">
        <v>133</v>
      </c>
    </row>
    <row r="13" spans="1:14" ht="15.75" customHeight="1" x14ac:dyDescent="0.15">
      <c r="A13" t="s">
        <v>129</v>
      </c>
      <c r="B13" s="4" t="s">
        <v>207</v>
      </c>
      <c r="C13" t="s">
        <v>134</v>
      </c>
      <c r="D13">
        <v>10</v>
      </c>
      <c r="E13" t="s">
        <v>84</v>
      </c>
      <c r="F13">
        <v>1</v>
      </c>
      <c r="G13" t="s">
        <v>135</v>
      </c>
      <c r="H13" t="s">
        <v>136</v>
      </c>
      <c r="J13">
        <v>8</v>
      </c>
      <c r="L13">
        <v>39.563349000000002</v>
      </c>
      <c r="M13">
        <v>-75.721278999999996</v>
      </c>
      <c r="N13" s="2" t="s">
        <v>137</v>
      </c>
    </row>
    <row r="14" spans="1:14" ht="15.75" customHeight="1" x14ac:dyDescent="0.15">
      <c r="A14" t="s">
        <v>129</v>
      </c>
      <c r="B14" s="4" t="s">
        <v>207</v>
      </c>
      <c r="C14" t="s">
        <v>138</v>
      </c>
      <c r="D14">
        <v>10</v>
      </c>
      <c r="E14" t="s">
        <v>84</v>
      </c>
      <c r="F14">
        <v>3</v>
      </c>
      <c r="G14" t="s">
        <v>139</v>
      </c>
      <c r="H14" t="s">
        <v>140</v>
      </c>
      <c r="J14">
        <v>8</v>
      </c>
      <c r="L14">
        <v>38.503215428965902</v>
      </c>
      <c r="M14">
        <v>-75.094638952692307</v>
      </c>
      <c r="N14" s="2" t="s">
        <v>141</v>
      </c>
    </row>
    <row r="15" spans="1:14" ht="15.75" customHeight="1" x14ac:dyDescent="0.15">
      <c r="A15" s="4" t="s">
        <v>292</v>
      </c>
      <c r="B15" s="4" t="s">
        <v>294</v>
      </c>
      <c r="C15" s="4" t="s">
        <v>295</v>
      </c>
      <c r="D15">
        <v>12</v>
      </c>
      <c r="E15" s="4" t="s">
        <v>174</v>
      </c>
      <c r="F15">
        <v>1</v>
      </c>
      <c r="G15" s="4" t="s">
        <v>296</v>
      </c>
      <c r="H15" s="4" t="s">
        <v>297</v>
      </c>
      <c r="L15">
        <v>30.122683093315899</v>
      </c>
      <c r="M15">
        <v>-81.882608274474293</v>
      </c>
      <c r="N15" s="2" t="s">
        <v>293</v>
      </c>
    </row>
    <row r="16" spans="1:14" ht="15.75" customHeight="1" x14ac:dyDescent="0.15">
      <c r="A16" s="4" t="s">
        <v>292</v>
      </c>
      <c r="B16" s="4" t="s">
        <v>294</v>
      </c>
      <c r="C16" s="4" t="s">
        <v>300</v>
      </c>
      <c r="D16">
        <v>3</v>
      </c>
      <c r="E16" s="4" t="s">
        <v>21</v>
      </c>
      <c r="F16">
        <v>2</v>
      </c>
      <c r="G16" s="4" t="s">
        <v>299</v>
      </c>
      <c r="H16" s="4" t="s">
        <v>301</v>
      </c>
      <c r="L16">
        <v>29.258558821513802</v>
      </c>
      <c r="M16">
        <v>-81.681933881918994</v>
      </c>
      <c r="N16" s="2" t="s">
        <v>298</v>
      </c>
    </row>
    <row r="17" spans="1:14" ht="15.75" customHeight="1" x14ac:dyDescent="0.15">
      <c r="A17" s="4" t="s">
        <v>292</v>
      </c>
      <c r="B17" s="4" t="s">
        <v>294</v>
      </c>
      <c r="C17" s="4" t="s">
        <v>295</v>
      </c>
      <c r="D17">
        <v>5</v>
      </c>
      <c r="E17" s="4" t="s">
        <v>30</v>
      </c>
      <c r="F17">
        <v>2</v>
      </c>
      <c r="G17" s="4" t="s">
        <v>302</v>
      </c>
      <c r="H17" s="4" t="s">
        <v>303</v>
      </c>
      <c r="L17">
        <v>30.1224312540493</v>
      </c>
      <c r="M17">
        <v>-81.882363825334707</v>
      </c>
      <c r="N17" s="2" t="s">
        <v>304</v>
      </c>
    </row>
    <row r="18" spans="1:14" ht="15.75" customHeight="1" x14ac:dyDescent="0.15">
      <c r="A18" s="4" t="s">
        <v>292</v>
      </c>
      <c r="B18" s="4" t="s">
        <v>294</v>
      </c>
      <c r="C18" s="4" t="s">
        <v>307</v>
      </c>
      <c r="D18">
        <v>10</v>
      </c>
      <c r="E18" s="4" t="s">
        <v>84</v>
      </c>
      <c r="F18">
        <v>4</v>
      </c>
      <c r="G18" s="4" t="s">
        <v>305</v>
      </c>
      <c r="H18" s="4" t="s">
        <v>54</v>
      </c>
      <c r="L18">
        <v>29.775124598000801</v>
      </c>
      <c r="M18">
        <v>-82.473914728266195</v>
      </c>
      <c r="N18" s="2" t="s">
        <v>306</v>
      </c>
    </row>
    <row r="19" spans="1:14" ht="15.75" customHeight="1" x14ac:dyDescent="0.15">
      <c r="A19" s="4" t="s">
        <v>292</v>
      </c>
      <c r="B19" s="4" t="s">
        <v>294</v>
      </c>
      <c r="C19" s="4" t="s">
        <v>311</v>
      </c>
      <c r="E19" s="4" t="s">
        <v>102</v>
      </c>
      <c r="F19">
        <v>2</v>
      </c>
      <c r="G19" s="4" t="s">
        <v>309</v>
      </c>
      <c r="H19" s="4" t="s">
        <v>132</v>
      </c>
      <c r="K19" s="4" t="s">
        <v>310</v>
      </c>
      <c r="L19">
        <v>30.501792962740399</v>
      </c>
      <c r="M19">
        <v>-82.673175708148193</v>
      </c>
      <c r="N19" s="2" t="s">
        <v>308</v>
      </c>
    </row>
    <row r="20" spans="1:14" ht="15.75" customHeight="1" x14ac:dyDescent="0.15">
      <c r="A20" s="4" t="s">
        <v>292</v>
      </c>
      <c r="B20" s="4" t="s">
        <v>294</v>
      </c>
      <c r="C20" s="4" t="s">
        <v>312</v>
      </c>
      <c r="D20">
        <v>1</v>
      </c>
      <c r="E20" s="4" t="s">
        <v>11</v>
      </c>
      <c r="F20">
        <v>4</v>
      </c>
      <c r="G20" s="4" t="s">
        <v>313</v>
      </c>
      <c r="H20" s="4" t="s">
        <v>314</v>
      </c>
      <c r="L20">
        <v>30.720986421985099</v>
      </c>
      <c r="M20">
        <v>-81.450561534488003</v>
      </c>
      <c r="N20" s="2" t="s">
        <v>315</v>
      </c>
    </row>
    <row r="21" spans="1:14" ht="15.75" customHeight="1" x14ac:dyDescent="0.15">
      <c r="A21" s="4" t="s">
        <v>184</v>
      </c>
      <c r="B21" s="4" t="s">
        <v>208</v>
      </c>
      <c r="C21" s="4" t="s">
        <v>186</v>
      </c>
      <c r="D21">
        <v>11</v>
      </c>
      <c r="E21" s="4" t="s">
        <v>102</v>
      </c>
      <c r="F21">
        <v>1</v>
      </c>
      <c r="G21" s="4" t="s">
        <v>187</v>
      </c>
      <c r="H21" s="4" t="s">
        <v>54</v>
      </c>
      <c r="I21" s="4"/>
      <c r="L21" s="4">
        <v>42.459299092168102</v>
      </c>
      <c r="M21">
        <v>-90.6640480371547</v>
      </c>
      <c r="N21" s="5" t="s">
        <v>185</v>
      </c>
    </row>
    <row r="22" spans="1:14" ht="15.75" customHeight="1" x14ac:dyDescent="0.15">
      <c r="A22" t="s">
        <v>142</v>
      </c>
      <c r="B22" s="4" t="s">
        <v>209</v>
      </c>
      <c r="C22" t="s">
        <v>147</v>
      </c>
      <c r="D22">
        <v>3</v>
      </c>
      <c r="E22" t="s">
        <v>21</v>
      </c>
      <c r="F22">
        <v>3</v>
      </c>
      <c r="G22" t="s">
        <v>148</v>
      </c>
      <c r="H22" t="s">
        <v>149</v>
      </c>
      <c r="J22">
        <v>10</v>
      </c>
      <c r="L22">
        <v>39.344932</v>
      </c>
      <c r="M22">
        <v>-86.852144999999993</v>
      </c>
      <c r="N22" s="2" t="s">
        <v>150</v>
      </c>
    </row>
    <row r="23" spans="1:14" ht="15.75" customHeight="1" x14ac:dyDescent="0.15">
      <c r="A23" t="s">
        <v>142</v>
      </c>
      <c r="B23" s="4" t="s">
        <v>209</v>
      </c>
      <c r="C23" t="s">
        <v>151</v>
      </c>
      <c r="D23">
        <v>9</v>
      </c>
      <c r="E23" t="s">
        <v>76</v>
      </c>
      <c r="G23" t="s">
        <v>152</v>
      </c>
      <c r="H23" t="s">
        <v>153</v>
      </c>
      <c r="J23">
        <v>8</v>
      </c>
      <c r="L23" s="4">
        <v>38.4623343165783</v>
      </c>
      <c r="M23">
        <v>-85.862459795099795</v>
      </c>
      <c r="N23" s="2" t="s">
        <v>154</v>
      </c>
    </row>
    <row r="24" spans="1:14" ht="15.75" customHeight="1" x14ac:dyDescent="0.15">
      <c r="A24" t="s">
        <v>142</v>
      </c>
      <c r="B24" s="4" t="s">
        <v>209</v>
      </c>
      <c r="C24" t="s">
        <v>143</v>
      </c>
      <c r="D24">
        <v>10</v>
      </c>
      <c r="E24" t="s">
        <v>84</v>
      </c>
      <c r="F24">
        <v>3</v>
      </c>
      <c r="G24" t="s">
        <v>144</v>
      </c>
      <c r="H24" t="s">
        <v>145</v>
      </c>
      <c r="J24">
        <v>9.5</v>
      </c>
      <c r="L24">
        <v>39.191353999999997</v>
      </c>
      <c r="M24">
        <v>-86.344047000000003</v>
      </c>
      <c r="N24" s="2" t="s">
        <v>146</v>
      </c>
    </row>
    <row r="25" spans="1:14" ht="15.75" customHeight="1" x14ac:dyDescent="0.15">
      <c r="A25" t="s">
        <v>20</v>
      </c>
      <c r="B25" s="4" t="s">
        <v>210</v>
      </c>
      <c r="C25" t="s">
        <v>24</v>
      </c>
      <c r="D25">
        <f>MONTH(E25&amp;1)</f>
        <v>4</v>
      </c>
      <c r="E25" t="s">
        <v>25</v>
      </c>
      <c r="F25">
        <v>1</v>
      </c>
      <c r="G25" t="s">
        <v>26</v>
      </c>
      <c r="H25" t="s">
        <v>27</v>
      </c>
      <c r="K25" t="s">
        <v>120</v>
      </c>
      <c r="L25">
        <v>37.784264999999998</v>
      </c>
      <c r="M25">
        <v>-83.632585000000006</v>
      </c>
      <c r="N25" s="5" t="s">
        <v>225</v>
      </c>
    </row>
    <row r="26" spans="1:14" ht="15.75" customHeight="1" x14ac:dyDescent="0.15">
      <c r="A26" t="s">
        <v>20</v>
      </c>
      <c r="B26" s="4" t="s">
        <v>210</v>
      </c>
      <c r="C26" t="s">
        <v>117</v>
      </c>
      <c r="D26">
        <v>11</v>
      </c>
      <c r="E26" t="s">
        <v>102</v>
      </c>
      <c r="F26">
        <v>2</v>
      </c>
      <c r="G26" t="s">
        <v>118</v>
      </c>
      <c r="H26" t="s">
        <v>119</v>
      </c>
      <c r="J26">
        <v>6</v>
      </c>
      <c r="K26" t="s">
        <v>120</v>
      </c>
      <c r="L26">
        <v>37.781091000000004</v>
      </c>
      <c r="M26">
        <v>-83.689959000000002</v>
      </c>
      <c r="N26" s="2" t="s">
        <v>121</v>
      </c>
    </row>
    <row r="27" spans="1:14" ht="15.75" customHeight="1" x14ac:dyDescent="0.15">
      <c r="A27" s="4" t="s">
        <v>20</v>
      </c>
      <c r="B27" s="4" t="s">
        <v>210</v>
      </c>
      <c r="C27" s="4" t="s">
        <v>316</v>
      </c>
      <c r="D27">
        <v>4</v>
      </c>
      <c r="E27" s="4" t="s">
        <v>25</v>
      </c>
      <c r="F27">
        <v>4</v>
      </c>
      <c r="G27" s="4" t="s">
        <v>317</v>
      </c>
      <c r="H27" s="4" t="s">
        <v>318</v>
      </c>
      <c r="J27">
        <v>6</v>
      </c>
      <c r="L27" s="5">
        <v>38.191333504485499</v>
      </c>
      <c r="M27" s="7">
        <v>-83.431420053320096</v>
      </c>
      <c r="N27" s="2" t="s">
        <v>319</v>
      </c>
    </row>
    <row r="28" spans="1:14" ht="15.75" customHeight="1" x14ac:dyDescent="0.15">
      <c r="A28" s="4" t="s">
        <v>20</v>
      </c>
      <c r="B28" s="4" t="s">
        <v>210</v>
      </c>
      <c r="C28" s="4" t="s">
        <v>320</v>
      </c>
      <c r="D28">
        <v>3</v>
      </c>
      <c r="E28" s="4" t="s">
        <v>21</v>
      </c>
      <c r="F28">
        <v>2</v>
      </c>
      <c r="G28" s="4" t="s">
        <v>321</v>
      </c>
      <c r="H28" s="4" t="s">
        <v>322</v>
      </c>
      <c r="J28">
        <v>5.5</v>
      </c>
      <c r="L28">
        <v>37.141310259329998</v>
      </c>
      <c r="M28">
        <v>83.430232358848002</v>
      </c>
      <c r="N28" s="2" t="s">
        <v>323</v>
      </c>
    </row>
    <row r="29" spans="1:14" ht="15.75" customHeight="1" x14ac:dyDescent="0.15">
      <c r="A29" s="4" t="s">
        <v>235</v>
      </c>
      <c r="B29" s="4" t="s">
        <v>236</v>
      </c>
      <c r="C29" s="4" t="s">
        <v>237</v>
      </c>
      <c r="D29">
        <v>12</v>
      </c>
      <c r="E29" s="4" t="s">
        <v>174</v>
      </c>
      <c r="F29">
        <v>1</v>
      </c>
      <c r="G29" s="4" t="s">
        <v>238</v>
      </c>
      <c r="H29" s="4" t="s">
        <v>253</v>
      </c>
      <c r="L29">
        <v>30.788984200292902</v>
      </c>
      <c r="M29">
        <v>-92.282911832662407</v>
      </c>
      <c r="N29" s="2" t="s">
        <v>239</v>
      </c>
    </row>
    <row r="30" spans="1:14" ht="15.75" customHeight="1" x14ac:dyDescent="0.15">
      <c r="A30" s="4" t="s">
        <v>235</v>
      </c>
      <c r="B30" s="4" t="s">
        <v>236</v>
      </c>
      <c r="C30" s="4" t="s">
        <v>240</v>
      </c>
      <c r="D30">
        <v>10</v>
      </c>
      <c r="E30" s="4" t="s">
        <v>84</v>
      </c>
      <c r="F30">
        <v>1</v>
      </c>
      <c r="G30" s="4" t="s">
        <v>241</v>
      </c>
      <c r="H30" s="4" t="s">
        <v>254</v>
      </c>
      <c r="L30" s="4">
        <v>32.535883651366603</v>
      </c>
      <c r="M30">
        <v>-93.410972717249095</v>
      </c>
      <c r="N30" s="2" t="s">
        <v>242</v>
      </c>
    </row>
    <row r="31" spans="1:14" ht="15.75" customHeight="1" x14ac:dyDescent="0.15">
      <c r="A31" t="s">
        <v>28</v>
      </c>
      <c r="B31" s="4" t="s">
        <v>211</v>
      </c>
      <c r="C31" t="s">
        <v>29</v>
      </c>
      <c r="D31">
        <f>MONTH(E31&amp;1)</f>
        <v>5</v>
      </c>
      <c r="E31" t="s">
        <v>30</v>
      </c>
      <c r="G31" t="s">
        <v>31</v>
      </c>
      <c r="H31" t="s">
        <v>32</v>
      </c>
      <c r="K31" t="s">
        <v>33</v>
      </c>
      <c r="L31">
        <v>42.305984000000002</v>
      </c>
      <c r="M31">
        <v>-72.532236999999995</v>
      </c>
      <c r="N31" s="2" t="s">
        <v>34</v>
      </c>
    </row>
    <row r="32" spans="1:14" ht="15.75" customHeight="1" x14ac:dyDescent="0.15">
      <c r="A32" s="4" t="s">
        <v>28</v>
      </c>
      <c r="B32" s="4" t="s">
        <v>211</v>
      </c>
      <c r="C32" s="4" t="s">
        <v>193</v>
      </c>
      <c r="D32">
        <v>6</v>
      </c>
      <c r="E32" s="4" t="s">
        <v>42</v>
      </c>
      <c r="F32">
        <v>3</v>
      </c>
      <c r="G32" s="4" t="s">
        <v>194</v>
      </c>
      <c r="H32" s="4" t="s">
        <v>195</v>
      </c>
      <c r="L32">
        <v>42.481794999999998</v>
      </c>
      <c r="M32">
        <v>-73.301186999999999</v>
      </c>
      <c r="N32" s="5" t="s">
        <v>226</v>
      </c>
    </row>
    <row r="33" spans="1:14" ht="15.75" customHeight="1" x14ac:dyDescent="0.15">
      <c r="A33" t="s">
        <v>50</v>
      </c>
      <c r="B33" s="4" t="s">
        <v>212</v>
      </c>
      <c r="C33" t="s">
        <v>51</v>
      </c>
      <c r="D33">
        <f>MONTH(E33&amp;1)</f>
        <v>7</v>
      </c>
      <c r="E33" t="s">
        <v>52</v>
      </c>
      <c r="G33" s="4" t="s">
        <v>53</v>
      </c>
      <c r="H33" t="s">
        <v>54</v>
      </c>
      <c r="L33">
        <v>39.587452999999996</v>
      </c>
      <c r="M33">
        <v>-77.435978000000006</v>
      </c>
      <c r="N33" s="5" t="s">
        <v>192</v>
      </c>
    </row>
    <row r="34" spans="1:14" ht="15.75" customHeight="1" x14ac:dyDescent="0.15">
      <c r="A34" t="s">
        <v>50</v>
      </c>
      <c r="B34" s="4" t="s">
        <v>212</v>
      </c>
      <c r="C34" t="s">
        <v>107</v>
      </c>
      <c r="D34">
        <f>MONTH(E34&amp;1)</f>
        <v>11</v>
      </c>
      <c r="E34" t="s">
        <v>102</v>
      </c>
      <c r="F34">
        <v>1</v>
      </c>
      <c r="G34" t="s">
        <v>108</v>
      </c>
      <c r="H34" t="s">
        <v>54</v>
      </c>
      <c r="J34">
        <v>7</v>
      </c>
      <c r="L34">
        <v>39.626657000000002</v>
      </c>
      <c r="M34">
        <v>-78.431286999999998</v>
      </c>
      <c r="N34" s="2" t="s">
        <v>109</v>
      </c>
    </row>
    <row r="35" spans="1:14" ht="15.75" customHeight="1" x14ac:dyDescent="0.15">
      <c r="A35" s="4" t="s">
        <v>55</v>
      </c>
      <c r="B35" s="4" t="s">
        <v>214</v>
      </c>
      <c r="C35" t="s">
        <v>56</v>
      </c>
      <c r="D35">
        <f>MONTH(E35&amp;1)</f>
        <v>7</v>
      </c>
      <c r="E35" t="s">
        <v>52</v>
      </c>
      <c r="G35" s="4" t="s">
        <v>213</v>
      </c>
      <c r="H35" t="s">
        <v>57</v>
      </c>
      <c r="L35" s="4">
        <v>46.453039091063701</v>
      </c>
      <c r="M35" s="4">
        <v>-86.665557210347103</v>
      </c>
      <c r="N35" s="2" t="s">
        <v>58</v>
      </c>
    </row>
    <row r="36" spans="1:14" ht="15.75" customHeight="1" x14ac:dyDescent="0.15">
      <c r="A36" s="4" t="s">
        <v>55</v>
      </c>
      <c r="B36" s="4" t="s">
        <v>214</v>
      </c>
      <c r="C36" s="4" t="s">
        <v>283</v>
      </c>
      <c r="D36">
        <v>7</v>
      </c>
      <c r="E36" s="4" t="s">
        <v>52</v>
      </c>
      <c r="F36">
        <v>3</v>
      </c>
      <c r="G36" s="4" t="s">
        <v>285</v>
      </c>
      <c r="H36" s="4" t="s">
        <v>286</v>
      </c>
      <c r="L36">
        <v>43.054254833541002</v>
      </c>
      <c r="M36">
        <v>-85.501292315380496</v>
      </c>
      <c r="N36" s="2" t="s">
        <v>284</v>
      </c>
    </row>
    <row r="37" spans="1:14" ht="15.75" customHeight="1" x14ac:dyDescent="0.15">
      <c r="A37" t="s">
        <v>74</v>
      </c>
      <c r="B37" s="4" t="s">
        <v>215</v>
      </c>
      <c r="C37" t="s">
        <v>75</v>
      </c>
      <c r="D37">
        <f>MONTH(E37&amp;1)</f>
        <v>9</v>
      </c>
      <c r="E37" t="s">
        <v>76</v>
      </c>
      <c r="G37" s="4" t="s">
        <v>77</v>
      </c>
      <c r="H37" s="4" t="s">
        <v>256</v>
      </c>
      <c r="I37" s="4"/>
      <c r="K37" t="s">
        <v>78</v>
      </c>
      <c r="L37">
        <v>47.540463000000003</v>
      </c>
      <c r="M37">
        <v>-90.978267000000002</v>
      </c>
      <c r="N37" t="s">
        <v>227</v>
      </c>
    </row>
    <row r="38" spans="1:14" ht="15.75" customHeight="1" x14ac:dyDescent="0.15">
      <c r="A38" t="s">
        <v>74</v>
      </c>
      <c r="B38" s="4" t="s">
        <v>215</v>
      </c>
      <c r="C38" t="s">
        <v>87</v>
      </c>
      <c r="D38">
        <f>MONTH(E38&amp;1)</f>
        <v>10</v>
      </c>
      <c r="E38" t="s">
        <v>84</v>
      </c>
      <c r="G38" t="s">
        <v>88</v>
      </c>
      <c r="H38" t="s">
        <v>89</v>
      </c>
      <c r="L38" s="4">
        <v>46.661502722688297</v>
      </c>
      <c r="M38" s="4">
        <v>-92.282658270523996</v>
      </c>
      <c r="N38" t="s">
        <v>228</v>
      </c>
    </row>
    <row r="39" spans="1:14" ht="15.75" customHeight="1" x14ac:dyDescent="0.15">
      <c r="A39" s="4" t="s">
        <v>173</v>
      </c>
      <c r="B39" s="4" t="s">
        <v>216</v>
      </c>
      <c r="C39" s="4" t="s">
        <v>175</v>
      </c>
      <c r="D39">
        <v>12</v>
      </c>
      <c r="E39" s="4" t="s">
        <v>174</v>
      </c>
      <c r="F39">
        <v>2</v>
      </c>
      <c r="G39" s="4" t="s">
        <v>176</v>
      </c>
      <c r="H39" s="4" t="s">
        <v>62</v>
      </c>
      <c r="I39" s="4"/>
      <c r="K39" s="4" t="s">
        <v>177</v>
      </c>
      <c r="L39" s="4">
        <v>38.551906000000002</v>
      </c>
      <c r="M39" s="4">
        <v>-90.638622999999995</v>
      </c>
      <c r="N39" s="5" t="s">
        <v>178</v>
      </c>
    </row>
    <row r="40" spans="1:14" ht="15.75" customHeight="1" x14ac:dyDescent="0.15">
      <c r="A40" s="4" t="s">
        <v>243</v>
      </c>
      <c r="B40" s="4" t="s">
        <v>244</v>
      </c>
      <c r="C40" s="4" t="s">
        <v>245</v>
      </c>
      <c r="D40">
        <v>9</v>
      </c>
      <c r="E40" s="4" t="s">
        <v>76</v>
      </c>
      <c r="F40">
        <v>4</v>
      </c>
      <c r="G40" s="4" t="s">
        <v>246</v>
      </c>
      <c r="H40" s="4" t="s">
        <v>247</v>
      </c>
      <c r="L40">
        <v>32.107823000000003</v>
      </c>
      <c r="M40">
        <v>-88.697120999999996</v>
      </c>
      <c r="N40" s="2" t="s">
        <v>248</v>
      </c>
    </row>
    <row r="41" spans="1:14" ht="15.75" customHeight="1" x14ac:dyDescent="0.15">
      <c r="A41" s="4" t="s">
        <v>243</v>
      </c>
      <c r="B41" s="4" t="s">
        <v>244</v>
      </c>
      <c r="C41" s="4" t="s">
        <v>250</v>
      </c>
      <c r="D41">
        <v>2</v>
      </c>
      <c r="E41" s="4" t="s">
        <v>16</v>
      </c>
      <c r="F41">
        <v>4</v>
      </c>
      <c r="G41" s="4" t="s">
        <v>251</v>
      </c>
      <c r="H41" s="4" t="s">
        <v>255</v>
      </c>
      <c r="L41">
        <v>31.568680000000001</v>
      </c>
      <c r="M41">
        <v>-88.987307000000001</v>
      </c>
      <c r="N41" s="2" t="s">
        <v>249</v>
      </c>
    </row>
    <row r="42" spans="1:14" ht="15.75" customHeight="1" x14ac:dyDescent="0.15">
      <c r="A42" s="4" t="s">
        <v>262</v>
      </c>
      <c r="B42" s="4" t="s">
        <v>263</v>
      </c>
      <c r="C42" s="4" t="s">
        <v>264</v>
      </c>
      <c r="D42">
        <v>5</v>
      </c>
      <c r="E42" s="4" t="s">
        <v>30</v>
      </c>
      <c r="F42">
        <v>4</v>
      </c>
      <c r="G42" s="4" t="s">
        <v>265</v>
      </c>
      <c r="H42" s="4" t="s">
        <v>266</v>
      </c>
      <c r="L42">
        <v>41.423577761322598</v>
      </c>
      <c r="M42">
        <v>-96.543395340635797</v>
      </c>
      <c r="N42" s="2" t="s">
        <v>261</v>
      </c>
    </row>
    <row r="43" spans="1:14" ht="15.75" customHeight="1" x14ac:dyDescent="0.15">
      <c r="A43" t="s">
        <v>59</v>
      </c>
      <c r="B43" s="4" t="s">
        <v>217</v>
      </c>
      <c r="C43" t="s">
        <v>60</v>
      </c>
      <c r="D43">
        <f>MONTH(E43&amp;1)</f>
        <v>7</v>
      </c>
      <c r="E43" t="s">
        <v>52</v>
      </c>
      <c r="G43" t="s">
        <v>61</v>
      </c>
      <c r="H43" t="s">
        <v>62</v>
      </c>
      <c r="L43" s="4">
        <v>36.708372823836598</v>
      </c>
      <c r="M43" s="4">
        <v>-105.405565676064</v>
      </c>
      <c r="N43" s="2" t="s">
        <v>63</v>
      </c>
    </row>
    <row r="44" spans="1:14" ht="15.75" customHeight="1" x14ac:dyDescent="0.15">
      <c r="A44" s="4" t="s">
        <v>59</v>
      </c>
      <c r="B44" s="4" t="s">
        <v>217</v>
      </c>
      <c r="C44" s="4" t="s">
        <v>156</v>
      </c>
      <c r="D44">
        <v>9</v>
      </c>
      <c r="E44" s="4" t="s">
        <v>76</v>
      </c>
      <c r="F44">
        <v>2</v>
      </c>
      <c r="G44" s="4" t="s">
        <v>157</v>
      </c>
      <c r="H44" s="4" t="s">
        <v>260</v>
      </c>
      <c r="I44" s="4"/>
      <c r="L44">
        <v>36.595438000000001</v>
      </c>
      <c r="M44">
        <v>-105.447819</v>
      </c>
      <c r="N44" s="5" t="s">
        <v>158</v>
      </c>
    </row>
    <row r="45" spans="1:14" ht="15.75" customHeight="1" x14ac:dyDescent="0.15">
      <c r="A45" s="4" t="s">
        <v>59</v>
      </c>
      <c r="B45" s="4" t="s">
        <v>217</v>
      </c>
      <c r="C45" s="4" t="s">
        <v>159</v>
      </c>
      <c r="D45">
        <v>10</v>
      </c>
      <c r="E45" s="4" t="s">
        <v>84</v>
      </c>
      <c r="F45">
        <v>2</v>
      </c>
      <c r="G45" s="4" t="s">
        <v>160</v>
      </c>
      <c r="H45" s="4" t="s">
        <v>32</v>
      </c>
      <c r="I45" s="4"/>
      <c r="L45" s="4">
        <v>35.777392185115701</v>
      </c>
      <c r="M45">
        <v>-105.81082548955899</v>
      </c>
      <c r="N45" s="2" t="s">
        <v>161</v>
      </c>
    </row>
    <row r="46" spans="1:14" ht="15.75" customHeight="1" x14ac:dyDescent="0.15">
      <c r="A46" s="4" t="s">
        <v>59</v>
      </c>
      <c r="B46" s="4" t="s">
        <v>217</v>
      </c>
      <c r="C46" s="4" t="s">
        <v>156</v>
      </c>
      <c r="D46">
        <v>8</v>
      </c>
      <c r="E46" s="4" t="s">
        <v>68</v>
      </c>
      <c r="F46">
        <v>1</v>
      </c>
      <c r="G46" s="4" t="s">
        <v>275</v>
      </c>
      <c r="H46" s="4" t="s">
        <v>276</v>
      </c>
      <c r="L46">
        <v>36.406430042726697</v>
      </c>
      <c r="M46">
        <v>-105.572292389526</v>
      </c>
      <c r="N46" s="2" t="s">
        <v>274</v>
      </c>
    </row>
    <row r="47" spans="1:14" ht="15.75" customHeight="1" x14ac:dyDescent="0.15">
      <c r="A47" t="s">
        <v>96</v>
      </c>
      <c r="B47" s="4" t="s">
        <v>218</v>
      </c>
      <c r="C47" t="s">
        <v>97</v>
      </c>
      <c r="D47">
        <v>10</v>
      </c>
      <c r="E47" t="s">
        <v>84</v>
      </c>
      <c r="G47" t="s">
        <v>98</v>
      </c>
      <c r="H47" t="s">
        <v>257</v>
      </c>
      <c r="J47">
        <v>7</v>
      </c>
      <c r="K47" t="s">
        <v>99</v>
      </c>
      <c r="L47">
        <v>38.739795000000001</v>
      </c>
      <c r="M47">
        <v>-83.203586999999999</v>
      </c>
      <c r="N47" s="2" t="s">
        <v>100</v>
      </c>
    </row>
    <row r="48" spans="1:14" ht="15.75" customHeight="1" x14ac:dyDescent="0.15">
      <c r="A48" s="4" t="s">
        <v>96</v>
      </c>
      <c r="B48" s="4" t="s">
        <v>218</v>
      </c>
      <c r="C48" s="4" t="s">
        <v>179</v>
      </c>
      <c r="D48">
        <v>10</v>
      </c>
      <c r="E48" s="4" t="s">
        <v>84</v>
      </c>
      <c r="F48">
        <v>4</v>
      </c>
      <c r="G48" s="4" t="s">
        <v>180</v>
      </c>
      <c r="H48" s="4" t="s">
        <v>181</v>
      </c>
      <c r="I48" s="4"/>
      <c r="J48" s="4"/>
      <c r="K48" s="4" t="s">
        <v>182</v>
      </c>
      <c r="L48" s="4">
        <v>41.224018000000001</v>
      </c>
      <c r="M48" s="4">
        <v>-81.510507000000004</v>
      </c>
      <c r="N48" s="5" t="s">
        <v>183</v>
      </c>
    </row>
    <row r="49" spans="1:14" ht="15.75" customHeight="1" x14ac:dyDescent="0.15">
      <c r="A49" s="4" t="s">
        <v>96</v>
      </c>
      <c r="B49" s="4" t="s">
        <v>218</v>
      </c>
      <c r="C49" s="4" t="s">
        <v>191</v>
      </c>
      <c r="D49">
        <v>4</v>
      </c>
      <c r="E49" s="4" t="s">
        <v>25</v>
      </c>
      <c r="F49">
        <v>1</v>
      </c>
      <c r="G49" s="4" t="s">
        <v>189</v>
      </c>
      <c r="H49" s="4" t="s">
        <v>38</v>
      </c>
      <c r="J49">
        <v>6</v>
      </c>
      <c r="L49">
        <v>39.320948000000001</v>
      </c>
      <c r="M49">
        <v>-82.356718999999998</v>
      </c>
      <c r="N49" s="5" t="s">
        <v>190</v>
      </c>
    </row>
    <row r="50" spans="1:14" ht="15.75" customHeight="1" x14ac:dyDescent="0.15">
      <c r="A50" t="s">
        <v>66</v>
      </c>
      <c r="B50" s="4" t="s">
        <v>219</v>
      </c>
      <c r="C50" t="s">
        <v>67</v>
      </c>
      <c r="D50">
        <f>MONTH(E50&amp;1)</f>
        <v>8</v>
      </c>
      <c r="E50" t="s">
        <v>68</v>
      </c>
      <c r="G50" t="s">
        <v>69</v>
      </c>
      <c r="H50" t="s">
        <v>27</v>
      </c>
      <c r="J50">
        <v>9</v>
      </c>
      <c r="L50">
        <v>41.345925000000001</v>
      </c>
      <c r="M50">
        <v>-79.218463</v>
      </c>
      <c r="N50" s="2" t="s">
        <v>70</v>
      </c>
    </row>
    <row r="51" spans="1:14" ht="15.75" customHeight="1" x14ac:dyDescent="0.15">
      <c r="A51" t="s">
        <v>66</v>
      </c>
      <c r="B51" s="4" t="s">
        <v>219</v>
      </c>
      <c r="C51" t="s">
        <v>79</v>
      </c>
      <c r="D51">
        <f>MONTH(E51&amp;1)</f>
        <v>9</v>
      </c>
      <c r="E51" t="s">
        <v>76</v>
      </c>
      <c r="G51" t="s">
        <v>80</v>
      </c>
      <c r="H51" t="s">
        <v>258</v>
      </c>
      <c r="J51">
        <v>9</v>
      </c>
      <c r="L51">
        <v>41.134135000000001</v>
      </c>
      <c r="M51">
        <v>-77.420109999999994</v>
      </c>
      <c r="N51" s="2" t="s">
        <v>81</v>
      </c>
    </row>
    <row r="52" spans="1:14" ht="15.75" customHeight="1" x14ac:dyDescent="0.15">
      <c r="A52" t="s">
        <v>66</v>
      </c>
      <c r="B52" s="4" t="s">
        <v>219</v>
      </c>
      <c r="C52" t="s">
        <v>90</v>
      </c>
      <c r="D52">
        <f>MONTH(E52&amp;1)</f>
        <v>10</v>
      </c>
      <c r="E52" t="s">
        <v>84</v>
      </c>
      <c r="G52" t="s">
        <v>91</v>
      </c>
      <c r="H52" t="s">
        <v>54</v>
      </c>
      <c r="J52">
        <v>9</v>
      </c>
      <c r="L52">
        <v>41.363957999999997</v>
      </c>
      <c r="M52">
        <v>-77.356221000000005</v>
      </c>
      <c r="N52" s="2" t="s">
        <v>92</v>
      </c>
    </row>
    <row r="53" spans="1:14" ht="15.75" customHeight="1" x14ac:dyDescent="0.15">
      <c r="A53" t="s">
        <v>46</v>
      </c>
      <c r="B53" s="4" t="s">
        <v>220</v>
      </c>
      <c r="C53" t="s">
        <v>47</v>
      </c>
      <c r="D53">
        <f>MONTH(E53&amp;1)</f>
        <v>6</v>
      </c>
      <c r="E53" t="s">
        <v>42</v>
      </c>
      <c r="G53" s="4" t="s">
        <v>48</v>
      </c>
      <c r="H53" t="s">
        <v>49</v>
      </c>
      <c r="L53" s="4">
        <v>41.441013820781301</v>
      </c>
      <c r="M53">
        <v>-71.463694190880901</v>
      </c>
      <c r="N53" t="s">
        <v>229</v>
      </c>
    </row>
    <row r="54" spans="1:14" ht="15.75" customHeight="1" x14ac:dyDescent="0.15">
      <c r="A54" t="s">
        <v>46</v>
      </c>
      <c r="B54" s="4" t="s">
        <v>220</v>
      </c>
      <c r="C54" t="s">
        <v>93</v>
      </c>
      <c r="D54">
        <f>MONTH(E54&amp;1)</f>
        <v>10</v>
      </c>
      <c r="E54" t="s">
        <v>84</v>
      </c>
      <c r="G54" t="s">
        <v>94</v>
      </c>
      <c r="H54" t="s">
        <v>95</v>
      </c>
      <c r="L54">
        <v>41.361185752662699</v>
      </c>
      <c r="M54">
        <v>-71.4813502625707</v>
      </c>
      <c r="N54" t="s">
        <v>230</v>
      </c>
    </row>
    <row r="55" spans="1:14" ht="15.75" customHeight="1" x14ac:dyDescent="0.15">
      <c r="A55" t="s">
        <v>46</v>
      </c>
      <c r="B55" s="4" t="s">
        <v>220</v>
      </c>
      <c r="C55" t="s">
        <v>110</v>
      </c>
      <c r="D55">
        <f>MONTH(E55&amp;1)</f>
        <v>11</v>
      </c>
      <c r="E55" t="s">
        <v>102</v>
      </c>
      <c r="G55" t="s">
        <v>111</v>
      </c>
      <c r="H55" t="s">
        <v>112</v>
      </c>
      <c r="L55">
        <v>41.383168015451297</v>
      </c>
      <c r="M55">
        <v>-71.709573349086796</v>
      </c>
      <c r="N55" s="2" t="s">
        <v>113</v>
      </c>
    </row>
    <row r="56" spans="1:14" ht="15.75" customHeight="1" x14ac:dyDescent="0.15">
      <c r="A56" s="4" t="s">
        <v>287</v>
      </c>
      <c r="B56" s="4" t="s">
        <v>288</v>
      </c>
      <c r="C56" s="4" t="s">
        <v>291</v>
      </c>
      <c r="D56">
        <v>5</v>
      </c>
      <c r="E56" s="4" t="s">
        <v>30</v>
      </c>
      <c r="F56">
        <v>5</v>
      </c>
      <c r="G56" s="4" t="s">
        <v>289</v>
      </c>
      <c r="H56" s="4" t="s">
        <v>62</v>
      </c>
      <c r="L56">
        <v>44.370895386532602</v>
      </c>
      <c r="M56">
        <v>-103.728699130772</v>
      </c>
      <c r="N56" s="2" t="s">
        <v>290</v>
      </c>
    </row>
    <row r="57" spans="1:14" ht="15.75" customHeight="1" x14ac:dyDescent="0.15">
      <c r="A57" t="s">
        <v>19</v>
      </c>
      <c r="B57" s="4" t="s">
        <v>221</v>
      </c>
      <c r="C57" t="s">
        <v>22</v>
      </c>
      <c r="D57">
        <f>MONTH(E57&amp;1)</f>
        <v>3</v>
      </c>
      <c r="E57" t="s">
        <v>21</v>
      </c>
      <c r="G57" t="s">
        <v>23</v>
      </c>
      <c r="H57" t="s">
        <v>259</v>
      </c>
      <c r="L57">
        <v>35.161427052430398</v>
      </c>
      <c r="M57">
        <v>-85.368960195175006</v>
      </c>
      <c r="N57" s="5" t="s">
        <v>252</v>
      </c>
    </row>
    <row r="58" spans="1:14" ht="15.75" customHeight="1" x14ac:dyDescent="0.15">
      <c r="A58" t="s">
        <v>19</v>
      </c>
      <c r="B58" s="4" t="s">
        <v>221</v>
      </c>
      <c r="C58" t="s">
        <v>22</v>
      </c>
      <c r="D58">
        <f>MONTH(E58&amp;1)</f>
        <v>8</v>
      </c>
      <c r="E58" t="s">
        <v>68</v>
      </c>
      <c r="G58" t="s">
        <v>71</v>
      </c>
      <c r="H58" t="s">
        <v>18</v>
      </c>
      <c r="J58">
        <v>6</v>
      </c>
      <c r="K58" t="s">
        <v>72</v>
      </c>
      <c r="L58">
        <v>35.087218</v>
      </c>
      <c r="M58">
        <v>-85.111582999999996</v>
      </c>
      <c r="N58" s="2" t="s">
        <v>73</v>
      </c>
    </row>
    <row r="59" spans="1:14" ht="15.75" customHeight="1" x14ac:dyDescent="0.15">
      <c r="A59" t="s">
        <v>19</v>
      </c>
      <c r="B59" s="4" t="s">
        <v>221</v>
      </c>
      <c r="C59" t="s">
        <v>114</v>
      </c>
      <c r="D59">
        <f>MONTH(E59&amp;1)</f>
        <v>11</v>
      </c>
      <c r="E59" t="s">
        <v>102</v>
      </c>
      <c r="F59">
        <v>4</v>
      </c>
      <c r="G59" t="s">
        <v>115</v>
      </c>
      <c r="H59" t="s">
        <v>62</v>
      </c>
      <c r="J59">
        <v>6.5</v>
      </c>
      <c r="L59">
        <v>35.181998</v>
      </c>
      <c r="M59">
        <v>-85.672781000000001</v>
      </c>
      <c r="N59" s="2" t="s">
        <v>116</v>
      </c>
    </row>
    <row r="60" spans="1:14" ht="15.75" customHeight="1" x14ac:dyDescent="0.15">
      <c r="A60" t="s">
        <v>19</v>
      </c>
      <c r="B60" s="4" t="s">
        <v>221</v>
      </c>
      <c r="C60" t="s">
        <v>22</v>
      </c>
      <c r="D60">
        <v>11</v>
      </c>
      <c r="E60" t="s">
        <v>102</v>
      </c>
      <c r="F60">
        <v>3</v>
      </c>
      <c r="G60" s="4" t="s">
        <v>122</v>
      </c>
      <c r="H60" t="s">
        <v>123</v>
      </c>
      <c r="J60">
        <v>5</v>
      </c>
      <c r="L60">
        <v>35.132576999999998</v>
      </c>
      <c r="M60">
        <v>-85.419156999999998</v>
      </c>
      <c r="N60" s="2" t="s">
        <v>124</v>
      </c>
    </row>
    <row r="61" spans="1:14" ht="15.75" customHeight="1" x14ac:dyDescent="0.15">
      <c r="A61" t="s">
        <v>9</v>
      </c>
      <c r="B61" s="4" t="s">
        <v>222</v>
      </c>
      <c r="C61" t="s">
        <v>10</v>
      </c>
      <c r="D61">
        <f>MONTH(E61&amp;1)</f>
        <v>1</v>
      </c>
      <c r="E61" t="s">
        <v>11</v>
      </c>
      <c r="G61" t="s">
        <v>12</v>
      </c>
      <c r="H61" t="s">
        <v>13</v>
      </c>
      <c r="L61">
        <v>29.270030751418901</v>
      </c>
      <c r="M61">
        <v>-103.75738789356799</v>
      </c>
      <c r="N61" t="s">
        <v>231</v>
      </c>
    </row>
    <row r="62" spans="1:14" ht="15.75" customHeight="1" x14ac:dyDescent="0.15">
      <c r="A62" t="s">
        <v>64</v>
      </c>
      <c r="B62" s="4" t="s">
        <v>223</v>
      </c>
      <c r="C62" t="s">
        <v>65</v>
      </c>
      <c r="D62">
        <f>MONTH(E62&amp;1)</f>
        <v>7</v>
      </c>
      <c r="E62" t="s">
        <v>52</v>
      </c>
      <c r="G62" s="4" t="s">
        <v>232</v>
      </c>
      <c r="H62" s="4" t="s">
        <v>27</v>
      </c>
      <c r="L62">
        <v>40.651711489342503</v>
      </c>
      <c r="M62">
        <v>-111.505570317121</v>
      </c>
      <c r="N62" t="s">
        <v>233</v>
      </c>
    </row>
    <row r="63" spans="1:14" ht="15.75" customHeight="1" x14ac:dyDescent="0.15">
      <c r="A63" s="4" t="s">
        <v>278</v>
      </c>
      <c r="B63" s="4" t="s">
        <v>279</v>
      </c>
      <c r="C63" s="4" t="s">
        <v>280</v>
      </c>
      <c r="D63">
        <v>7</v>
      </c>
      <c r="E63" s="4" t="s">
        <v>52</v>
      </c>
      <c r="F63">
        <v>2</v>
      </c>
      <c r="G63" s="4" t="s">
        <v>281</v>
      </c>
      <c r="H63" s="4" t="s">
        <v>282</v>
      </c>
      <c r="L63">
        <v>47.292665814386503</v>
      </c>
      <c r="M63">
        <v>-120.399919279759</v>
      </c>
      <c r="N63" s="2" t="s">
        <v>277</v>
      </c>
    </row>
    <row r="64" spans="1:14" ht="15.75" customHeight="1" x14ac:dyDescent="0.15">
      <c r="A64" t="s">
        <v>35</v>
      </c>
      <c r="B64" s="4" t="s">
        <v>268</v>
      </c>
      <c r="C64" t="s">
        <v>36</v>
      </c>
      <c r="D64">
        <f>MONTH(E64&amp;1)</f>
        <v>5</v>
      </c>
      <c r="E64" t="s">
        <v>30</v>
      </c>
      <c r="G64" t="s">
        <v>37</v>
      </c>
      <c r="H64" t="s">
        <v>38</v>
      </c>
      <c r="L64" s="4">
        <v>42.821545273956801</v>
      </c>
      <c r="M64">
        <v>-88.600563748783202</v>
      </c>
      <c r="N64" s="2" t="s">
        <v>39</v>
      </c>
    </row>
    <row r="65" spans="1:14" ht="15.75" customHeight="1" x14ac:dyDescent="0.15">
      <c r="A65" s="4" t="s">
        <v>324</v>
      </c>
      <c r="B65" s="4" t="s">
        <v>325</v>
      </c>
      <c r="C65" s="4" t="s">
        <v>328</v>
      </c>
      <c r="D65">
        <v>6</v>
      </c>
      <c r="E65" s="4" t="s">
        <v>42</v>
      </c>
      <c r="F65">
        <v>4</v>
      </c>
      <c r="G65" s="4" t="s">
        <v>327</v>
      </c>
      <c r="H65" s="4" t="s">
        <v>329</v>
      </c>
      <c r="L65">
        <v>46.913974694365898</v>
      </c>
      <c r="M65">
        <v>-103.52377003853699</v>
      </c>
      <c r="N65" s="2" t="s">
        <v>326</v>
      </c>
    </row>
  </sheetData>
  <hyperlinks>
    <hyperlink ref="N31" r:id="rId1" xr:uid="{00000000-0004-0000-0000-000003000000}"/>
    <hyperlink ref="N64" r:id="rId2" xr:uid="{00000000-0004-0000-0000-000004000000}"/>
    <hyperlink ref="N9" r:id="rId3" xr:uid="{00000000-0004-0000-0000-000005000000}"/>
    <hyperlink ref="N35" r:id="rId4" xr:uid="{00000000-0004-0000-0000-000006000000}"/>
    <hyperlink ref="N43" r:id="rId5" xr:uid="{00000000-0004-0000-0000-000007000000}"/>
    <hyperlink ref="N50" r:id="rId6" xr:uid="{00000000-0004-0000-0000-000008000000}"/>
    <hyperlink ref="N58" r:id="rId7" xr:uid="{00000000-0004-0000-0000-000009000000}"/>
    <hyperlink ref="N51" r:id="rId8" xr:uid="{00000000-0004-0000-0000-00000A000000}"/>
    <hyperlink ref="N52" r:id="rId9" xr:uid="{00000000-0004-0000-0000-00000B000000}"/>
    <hyperlink ref="N47" r:id="rId10" xr:uid="{00000000-0004-0000-0000-00000C000000}"/>
    <hyperlink ref="N4" r:id="rId11" xr:uid="{00000000-0004-0000-0000-00000D000000}"/>
    <hyperlink ref="N34" r:id="rId12" xr:uid="{00000000-0004-0000-0000-00000E000000}"/>
    <hyperlink ref="N55" r:id="rId13" xr:uid="{00000000-0004-0000-0000-00000F000000}"/>
    <hyperlink ref="N59" r:id="rId14" xr:uid="{00000000-0004-0000-0000-000010000000}"/>
    <hyperlink ref="N26" r:id="rId15" xr:uid="{00000000-0004-0000-0000-000011000000}"/>
    <hyperlink ref="N60" r:id="rId16" xr:uid="{00000000-0004-0000-0000-000012000000}"/>
    <hyperlink ref="N3" r:id="rId17" xr:uid="{00000000-0004-0000-0000-000013000000}"/>
    <hyperlink ref="N12" r:id="rId18" xr:uid="{00000000-0004-0000-0000-000014000000}"/>
    <hyperlink ref="N13" r:id="rId19" xr:uid="{00000000-0004-0000-0000-000015000000}"/>
    <hyperlink ref="N14" r:id="rId20" xr:uid="{00000000-0004-0000-0000-000016000000}"/>
    <hyperlink ref="N24" r:id="rId21" xr:uid="{00000000-0004-0000-0000-000017000000}"/>
    <hyperlink ref="N22" r:id="rId22" xr:uid="{00000000-0004-0000-0000-000018000000}"/>
    <hyperlink ref="N23" r:id="rId23" xr:uid="{00000000-0004-0000-0000-000019000000}"/>
    <hyperlink ref="N44" r:id="rId24" xr:uid="{B1E10B24-F054-E547-BD3C-660C0672113E}"/>
    <hyperlink ref="N6" r:id="rId25" xr:uid="{894ECB44-0541-8248-BBC2-F2EB43D34ADF}"/>
    <hyperlink ref="N39" r:id="rId26" xr:uid="{2AA9988F-6D01-144B-81DA-87954893D26D}"/>
    <hyperlink ref="N2" r:id="rId27" xr:uid="{C929B912-E898-FB4A-A56C-63AD48FB3C12}"/>
    <hyperlink ref="N5" r:id="rId28" xr:uid="{E2B0F023-1474-6446-98F1-3AB4FF697C20}"/>
    <hyperlink ref="N21" r:id="rId29" xr:uid="{D4186AD3-3DB1-1748-BE0E-5237851CE632}"/>
    <hyperlink ref="N32" r:id="rId30" display="https://ultrasignup.com/register.aspx?did=121875" xr:uid="{D8FE7B00-306C-E843-BBB5-677644870ACC}"/>
    <hyperlink ref="N33" r:id="rId31" xr:uid="{AE57CCA9-648D-F54A-A2BF-9CDA9126A94E}"/>
    <hyperlink ref="N48" r:id="rId32" xr:uid="{D7230747-A69F-AA4A-96F8-7DE9C9C4A60B}"/>
    <hyperlink ref="N49" r:id="rId33" xr:uid="{7F4BFEFD-5AD7-8C40-8BDC-4D42308FFEB7}"/>
    <hyperlink ref="N57" r:id="rId34" display="https://www.badbeardevents.com/featured-races/stump-jump-50k-and-10-miler" xr:uid="{B6E400ED-9EF0-FC43-921D-CEBB3BD2D97E}"/>
    <hyperlink ref="M27" r:id="rId35" display="https://www.google.com/maps/place/38%C2%B011'28.8%22N+83%C2%B025'53.1%22W/@38.1913353,-83.4325027,427m/data=!3m2!1e3!4b1!4m4!3m3!8m2!3d38.1913335!4d-83.4314201!5m1!1e1?entry=ttu&amp;g_ep=EgoyMDI1MDQxNi4xIKXMDSoASAFQAw%3D%3D" xr:uid="{075506EC-582D-5C4E-A0FF-0E65726F3261}"/>
    <hyperlink ref="L27" r:id="rId36" display="https://www.google.com/maps/place/38%C2%B011'28.8%22N+83%C2%B025'53.1%22W/@38.1913353,-83.4325027,427m/data=!3m2!1e3!4b1!4m4!3m3!8m2!3d38.1913335!4d-83.4314201!5m1!1e1?entry=ttu&amp;g_ep=EgoyMDI1MDQxNi4xIKXMDSoASAFQAw%3D%3D" xr:uid="{47D09849-195F-B74C-84AE-230308A58C81}"/>
  </hyperlinks>
  <pageMargins left="0.7" right="0.7" top="0.75" bottom="0.75" header="0.3" footer="0.3"/>
  <pageSetup orientation="portrait" horizontalDpi="0" verticalDpi="0"/>
  <tableParts count="1"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Canfield</cp:lastModifiedBy>
  <dcterms:created xsi:type="dcterms:W3CDTF">2025-02-24T19:59:38Z</dcterms:created>
  <dcterms:modified xsi:type="dcterms:W3CDTF">2025-08-11T00:23:03Z</dcterms:modified>
</cp:coreProperties>
</file>